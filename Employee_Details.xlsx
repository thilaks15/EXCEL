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 activeTab="1"/>
  </bookViews>
  <sheets>
    <sheet name="Sheet1 (2)" sheetId="2" r:id="rId1"/>
    <sheet name="WORKINGS" sheetId="3" r:id="rId2"/>
    <sheet name="Sheet1" sheetId="1" r:id="rId3"/>
  </sheets>
  <definedNames>
    <definedName name="_xlnm._FilterDatabase" localSheetId="2" hidden="1">Sheet1!$A$1:$I$151</definedName>
    <definedName name="_xlnm._FilterDatabase" localSheetId="0" hidden="1">'Sheet1 (2)'!$A$1:$I$151</definedName>
  </definedNames>
  <calcPr calcId="162913"/>
</workbook>
</file>

<file path=xl/calcChain.xml><?xml version="1.0" encoding="utf-8"?>
<calcChain xmlns="http://schemas.openxmlformats.org/spreadsheetml/2006/main">
  <c r="L5" i="3" l="1"/>
  <c r="L6" i="3"/>
  <c r="L7" i="3"/>
  <c r="L8" i="3"/>
  <c r="L9" i="3"/>
  <c r="L10" i="3"/>
  <c r="L11" i="3"/>
  <c r="L12" i="3"/>
  <c r="J8" i="3"/>
  <c r="J2" i="3"/>
  <c r="J3" i="3"/>
  <c r="J4" i="3"/>
  <c r="J5" i="3"/>
  <c r="J6" i="3"/>
  <c r="J7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N7" i="3"/>
  <c r="N5" i="3"/>
  <c r="E37" i="3"/>
  <c r="N11" i="3"/>
  <c r="N10" i="3"/>
  <c r="N8" i="3"/>
  <c r="N9" i="3"/>
  <c r="N6" i="3"/>
</calcChain>
</file>

<file path=xl/sharedStrings.xml><?xml version="1.0" encoding="utf-8"?>
<sst xmlns="http://schemas.openxmlformats.org/spreadsheetml/2006/main" count="1866" uniqueCount="300">
  <si>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</si>
  <si>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</si>
  <si>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</si>
  <si>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</si>
  <si>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</si>
  <si>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</si>
  <si>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</si>
  <si>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</si>
  <si>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</si>
  <si>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</si>
  <si>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</si>
  <si>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</si>
  <si>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</si>
  <si>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</si>
  <si>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</si>
  <si>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</si>
  <si>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</si>
  <si>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</si>
  <si>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</si>
  <si>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</si>
  <si>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</si>
  <si>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</si>
  <si>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</si>
  <si>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</si>
  <si>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</si>
  <si>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</si>
  <si>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</si>
  <si>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</si>
  <si>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</si>
  <si>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</si>
  <si>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</si>
  <si>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</si>
  <si>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</si>
  <si>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</si>
  <si>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</si>
  <si>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</si>
  <si>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</si>
  <si>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</si>
  <si>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</si>
  <si>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</si>
  <si>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</si>
  <si>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</si>
  <si>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</si>
  <si>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</si>
  <si>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</si>
  <si>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</si>
  <si>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</si>
  <si>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</si>
  <si>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</si>
  <si>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</si>
  <si>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</si>
  <si>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</si>
  <si>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</si>
  <si>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</si>
  <si>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</si>
  <si>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</si>
  <si>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</si>
  <si>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</si>
  <si>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</si>
  <si>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</si>
  <si>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</si>
  <si>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</si>
  <si>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</si>
  <si>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</si>
  <si>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</si>
  <si>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</si>
  <si>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</si>
  <si>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</si>
  <si>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</si>
  <si>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</si>
  <si>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</si>
  <si>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</si>
  <si>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</si>
  <si>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</si>
  <si>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</si>
  <si>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</si>
  <si>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</si>
  <si>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</si>
  <si>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</si>
  <si>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</si>
  <si>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</si>
  <si>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</si>
  <si>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</si>
  <si>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</si>
  <si>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</si>
  <si>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</si>
  <si>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</si>
  <si>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</si>
  <si>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</si>
  <si>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</si>
  <si>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</si>
  <si>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</si>
  <si>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</si>
  <si>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</si>
  <si>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</si>
  <si>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</si>
  <si>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</si>
  <si>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</si>
  <si>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</si>
  <si>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</si>
  <si>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</si>
  <si>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</si>
  <si>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</si>
  <si>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</si>
  <si>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</si>
  <si>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</si>
  <si>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</si>
  <si>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</si>
  <si>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</si>
  <si>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</si>
  <si>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</si>
  <si>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</si>
  <si>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</si>
  <si>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</si>
  <si>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</si>
  <si>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</si>
  <si>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</si>
  <si>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</si>
  <si>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</si>
  <si>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</si>
  <si>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</si>
  <si>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</si>
  <si>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</si>
  <si>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</si>
  <si>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</si>
  <si>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</si>
  <si>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</si>
  <si>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</si>
  <si>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</si>
  <si>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</si>
  <si>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</si>
  <si>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</si>
  <si>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</si>
  <si>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</si>
  <si>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</si>
  <si>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</si>
  <si>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</si>
  <si>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</si>
  <si>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</si>
  <si>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</si>
  <si>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</si>
  <si>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</si>
  <si>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</si>
  <si>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</si>
  <si>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</si>
  <si>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</si>
  <si>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</si>
  <si>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</si>
  <si>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</si>
  <si>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</si>
  <si>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</si>
  <si>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</si>
  <si>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</si>
  <si>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</si>
  <si>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</si>
  <si>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</si>
  <si>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</si>
  <si>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</si>
  <si>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</si>
  <si>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</si>
  <si>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</si>
  <si>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</si>
  <si>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</si>
  <si>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</si>
  <si>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</si>
  <si>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</si>
  <si>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</si>
  <si>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</si>
  <si>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</si>
  <si>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</si>
  <si>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</si>
  <si>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</si>
  <si>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</si>
  <si>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</si>
  <si>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</si>
  <si>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</si>
  <si>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</si>
  <si>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</si>
  <si>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</si>
  <si>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</si>
  <si>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</si>
  <si>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</si>
  <si>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</si>
  <si>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</si>
  <si>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</si>
  <si>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</si>
  <si>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</si>
  <si>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</si>
  <si>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</si>
  <si>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</si>
  <si>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</si>
  <si>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</si>
  <si>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</si>
  <si>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</si>
  <si>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</si>
  <si>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</si>
  <si>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</si>
  <si>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</si>
  <si>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</si>
  <si>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</si>
  <si>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</si>
  <si>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</si>
  <si>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</si>
  <si>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</si>
  <si>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</si>
  <si>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</si>
  <si>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</si>
  <si>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</si>
  <si>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</si>
  <si>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</si>
  <si>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</si>
  <si>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</si>
  <si>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</si>
  <si>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</si>
  <si>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</si>
  <si>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</si>
  <si>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</si>
  <si>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</si>
  <si>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</si>
  <si>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</si>
  <si>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</si>
  <si>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</si>
  <si>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</si>
  <si>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</si>
  <si>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</si>
  <si>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</si>
  <si>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</si>
  <si>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</si>
  <si>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</si>
  <si>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</si>
  <si>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</si>
  <si>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</si>
  <si>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</si>
  <si>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</si>
  <si>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</si>
  <si>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</si>
  <si>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</si>
  <si>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</si>
  <si>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</si>
  <si>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</si>
  <si>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</si>
  <si>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</si>
  <si>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</si>
  <si>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</si>
  <si>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</si>
  <si>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</si>
  <si>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</si>
  <si>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</si>
  <si>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</si>
  <si>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</si>
  <si>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</si>
  <si>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</si>
  <si>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</si>
  <si>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</si>
  <si>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</si>
  <si>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</si>
  <si>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</si>
  <si>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</si>
  <si>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</si>
  <si>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</si>
  <si>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</si>
  <si>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</si>
  <si>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</si>
  <si>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</si>
  <si>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</si>
  <si>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</si>
  <si>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</si>
  <si>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</si>
  <si>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</si>
  <si>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</si>
  <si>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</si>
  <si>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</si>
  <si>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</si>
  <si>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</si>
  <si>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</si>
  <si>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</si>
  <si>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</si>
  <si>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</si>
  <si>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</si>
  <si>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</si>
  <si>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</si>
  <si>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AVERAGE</t>
  </si>
  <si>
    <t xml:space="preserve">COUNT </t>
  </si>
  <si>
    <t>COUNT IF</t>
  </si>
  <si>
    <t>Avg salary</t>
  </si>
  <si>
    <t>Count of Indian employees</t>
  </si>
  <si>
    <t>no of employees</t>
  </si>
  <si>
    <t>COUNTA</t>
  </si>
  <si>
    <t>MAX</t>
  </si>
  <si>
    <t>MIN</t>
  </si>
  <si>
    <t>Lowest Salary</t>
  </si>
  <si>
    <t>Highest salary</t>
  </si>
  <si>
    <t>IF</t>
  </si>
  <si>
    <t>SUM</t>
  </si>
  <si>
    <t>TOTAL SALARY</t>
  </si>
  <si>
    <t>RANK HOLDERS</t>
  </si>
  <si>
    <t>GOOD/POOR</t>
  </si>
  <si>
    <t xml:space="preserve">ASSIGNMENT </t>
  </si>
  <si>
    <t>PROPER FUNCTION</t>
  </si>
  <si>
    <t>IF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</si>
</sst>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20"/>
      <color theme="1"/>
      <name val="Algerian"/>
      <family val="5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2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8" xfId="0" applyFont="1" applyBorder="1"/>
    <xf numFmtId="0" fontId="0" fillId="0" borderId="9" xfId="0" applyBorder="1"/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0" formatCode="General"/>
    </dxf>
    <dxf>
      <alignment horizontal="center" textRotation="0" wrapText="0" indent="0" justifyLastLine="0" shrinkToFit="0" readingOrder="0"/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7" tint="0.3999755851924192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1:J37" totalsRowCount="1" headerRowDxfId="7" headerRowBorderDxfId="5" tableBorderDxfId="6">
  <autoFilter ref="A1:J37"/>
  <tableColumns count="10">
    <tableColumn id="1" name="Employee ID"/>
    <tableColumn id="2" name="Name"/>
    <tableColumn id="3" name="Department"/>
    <tableColumn id="4" name="Country"/>
    <tableColumn id="5" name="Salary" totalsRowFunction="sum"/>
    <tableColumn id="6" name="Date of Joining" dataDxfId="4" totalsRowDxfId="1"/>
    <tableColumn id="7" name="Performance Rating" dataDxfId="3" totalsRowDxfId="0"/>
    <tableColumn id="8" name="Gender"/>
    <tableColumn id="9" name="Email"/>
    <tableColumn id="10" name="IF FUNCTION" dataDxfId="2">
      <calculatedColumnFormula>IF(G2&lt;5,"GOOD","POOR")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151"/>
  <sheetViews>
    <sheetView topLeftCell="B57" zoomScale="85" zoomScaleNormal="85" workbookViewId="0">
      <selection sqref="A1:J147"/>
    </sheetView>
  </sheetViews>
  <sheetFormatPr defaultRowHeight="15" x14ac:dyDescent="0.25"/>
  <cols>
    <col min="1" max="1" width="17.140625" bestFit="1" customWidth="1"/>
    <col min="3" max="3" width="16.5703125" bestFit="1" customWidth="1"/>
    <col min="6" max="6" width="18.85546875" bestFit="1" customWidth="1"/>
    <col min="7" max="7" width="23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hidden="1" x14ac:dyDescent="0.2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hidden="1" x14ac:dyDescent="0.2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2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hidden="1" x14ac:dyDescent="0.2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2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hidden="1" x14ac:dyDescent="0.2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hidden="1" x14ac:dyDescent="0.2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hidden="1" x14ac:dyDescent="0.2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hidden="1" x14ac:dyDescent="0.2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hidden="1" x14ac:dyDescent="0.2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2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hidden="1" x14ac:dyDescent="0.2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hidden="1" x14ac:dyDescent="0.2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hidden="1" x14ac:dyDescent="0.2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hidden="1" x14ac:dyDescent="0.2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hidden="1" x14ac:dyDescent="0.2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hidden="1" x14ac:dyDescent="0.2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hidden="1" x14ac:dyDescent="0.2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2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hidden="1" x14ac:dyDescent="0.2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hidden="1" x14ac:dyDescent="0.2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hidden="1" x14ac:dyDescent="0.2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hidden="1" x14ac:dyDescent="0.2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hidden="1" x14ac:dyDescent="0.2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hidden="1" x14ac:dyDescent="0.2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hidden="1" x14ac:dyDescent="0.2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hidden="1" x14ac:dyDescent="0.2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hidden="1" x14ac:dyDescent="0.2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hidden="1" x14ac:dyDescent="0.2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hidden="1" x14ac:dyDescent="0.2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hidden="1" x14ac:dyDescent="0.2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hidden="1" x14ac:dyDescent="0.2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2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hidden="1" x14ac:dyDescent="0.2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hidden="1" x14ac:dyDescent="0.2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2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hidden="1" x14ac:dyDescent="0.2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hidden="1" x14ac:dyDescent="0.2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hidden="1" x14ac:dyDescent="0.2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hidden="1" x14ac:dyDescent="0.2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hidden="1" x14ac:dyDescent="0.2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2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2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hidden="1" x14ac:dyDescent="0.2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hidden="1" x14ac:dyDescent="0.2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hidden="1" x14ac:dyDescent="0.2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hidden="1" x14ac:dyDescent="0.2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hidden="1" x14ac:dyDescent="0.2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hidden="1" x14ac:dyDescent="0.2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hidden="1" x14ac:dyDescent="0.2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hidden="1" x14ac:dyDescent="0.2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hidden="1" x14ac:dyDescent="0.2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hidden="1" x14ac:dyDescent="0.2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hidden="1" x14ac:dyDescent="0.2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2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2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hidden="1" x14ac:dyDescent="0.2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hidden="1" x14ac:dyDescent="0.2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hidden="1" x14ac:dyDescent="0.2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hidden="1" x14ac:dyDescent="0.2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hidden="1" x14ac:dyDescent="0.2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hidden="1" x14ac:dyDescent="0.2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hidden="1" x14ac:dyDescent="0.2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2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2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hidden="1" x14ac:dyDescent="0.2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2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hidden="1" x14ac:dyDescent="0.2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hidden="1" x14ac:dyDescent="0.2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2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hidden="1" x14ac:dyDescent="0.2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hidden="1" x14ac:dyDescent="0.2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2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hidden="1" x14ac:dyDescent="0.2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hidden="1" x14ac:dyDescent="0.2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2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hidden="1" x14ac:dyDescent="0.2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hidden="1" x14ac:dyDescent="0.2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hidden="1" x14ac:dyDescent="0.2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hidden="1" x14ac:dyDescent="0.2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2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hidden="1" x14ac:dyDescent="0.2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hidden="1" x14ac:dyDescent="0.2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2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hidden="1" x14ac:dyDescent="0.2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2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hidden="1" x14ac:dyDescent="0.2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hidden="1" x14ac:dyDescent="0.2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hidden="1" x14ac:dyDescent="0.2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hidden="1" x14ac:dyDescent="0.2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2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hidden="1" x14ac:dyDescent="0.2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2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2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G96">
        <v>3</v>
      </c>
      <c r="H96" t="s">
        <v>181</v>
      </c>
      <c r="I96" t="s">
        <v>253</v>
      </c>
    </row>
    <row r="97" spans="1:9" hidden="1" x14ac:dyDescent="0.2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hidden="1" x14ac:dyDescent="0.2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hidden="1" x14ac:dyDescent="0.2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2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2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hidden="1" x14ac:dyDescent="0.2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hidden="1" x14ac:dyDescent="0.2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hidden="1" x14ac:dyDescent="0.2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hidden="1" x14ac:dyDescent="0.2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hidden="1" x14ac:dyDescent="0.2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hidden="1" x14ac:dyDescent="0.2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hidden="1" x14ac:dyDescent="0.2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2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hidden="1" x14ac:dyDescent="0.2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2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2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F112" s="2">
        <v>42771</v>
      </c>
      <c r="G112">
        <v>2</v>
      </c>
      <c r="H112" t="s">
        <v>181</v>
      </c>
      <c r="I112" t="s">
        <v>264</v>
      </c>
    </row>
    <row r="113" spans="1:9" x14ac:dyDescent="0.2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hidden="1" x14ac:dyDescent="0.2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2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hidden="1" x14ac:dyDescent="0.2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hidden="1" x14ac:dyDescent="0.2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2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hidden="1" x14ac:dyDescent="0.2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hidden="1" x14ac:dyDescent="0.2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2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hidden="1" x14ac:dyDescent="0.25">
      <c r="A122" t="s">
        <v>129</v>
      </c>
      <c r="C122" t="s">
        <v>169</v>
      </c>
      <c r="D122" t="s">
        <v>173</v>
      </c>
      <c r="E122" t="s">
        <v>177</v>
      </c>
      <c r="F122" s="2"/>
      <c r="G122">
        <v>5</v>
      </c>
      <c r="H122" t="s">
        <v>178</v>
      </c>
      <c r="I122" t="s">
        <v>268</v>
      </c>
    </row>
    <row r="123" spans="1:9" hidden="1" x14ac:dyDescent="0.2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hidden="1" x14ac:dyDescent="0.2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hidden="1" x14ac:dyDescent="0.2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hidden="1" x14ac:dyDescent="0.2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hidden="1" x14ac:dyDescent="0.2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hidden="1" x14ac:dyDescent="0.2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2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hidden="1" x14ac:dyDescent="0.2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hidden="1" x14ac:dyDescent="0.2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2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F132" s="2">
        <v>42911</v>
      </c>
      <c r="G132">
        <v>3</v>
      </c>
      <c r="H132" t="s">
        <v>180</v>
      </c>
      <c r="I132" t="s">
        <v>189</v>
      </c>
    </row>
    <row r="133" spans="1:9" hidden="1" x14ac:dyDescent="0.2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hidden="1" x14ac:dyDescent="0.2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hidden="1" x14ac:dyDescent="0.2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hidden="1" x14ac:dyDescent="0.2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hidden="1" x14ac:dyDescent="0.2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hidden="1" x14ac:dyDescent="0.2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hidden="1" x14ac:dyDescent="0.2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2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hidden="1" x14ac:dyDescent="0.2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hidden="1" x14ac:dyDescent="0.2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hidden="1" x14ac:dyDescent="0.2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hidden="1" x14ac:dyDescent="0.2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hidden="1" x14ac:dyDescent="0.2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hidden="1" x14ac:dyDescent="0.2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2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hidden="1" x14ac:dyDescent="0.2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hidden="1" x14ac:dyDescent="0.2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hidden="1" x14ac:dyDescent="0.2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hidden="1" x14ac:dyDescent="0.2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autoFilter ref="A1:I151">
    <filterColumn colId="3">
      <filters>
        <filter val="Australia"/>
        <filter val="India"/>
        <filter val="USA"/>
      </filters>
    </filterColumn>
    <filterColumn colId="7">
      <filters>
        <filter val="Female"/>
        <filter val="Mal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tabSelected="1" workbookViewId="0">
      <selection activeCell="M15" sqref="M15"/>
    </sheetView>
  </sheetViews>
  <sheetFormatPr defaultRowHeight="15" x14ac:dyDescent="0.25"/>
  <cols>
    <col min="1" max="1" width="14.28515625" customWidth="1"/>
    <col min="2" max="2" width="12.140625" bestFit="1" customWidth="1"/>
    <col min="3" max="3" width="13.85546875" customWidth="1"/>
    <col min="4" max="4" width="10.140625" customWidth="1"/>
    <col min="5" max="5" width="8.42578125" customWidth="1"/>
    <col min="6" max="6" width="18.28515625" bestFit="1" customWidth="1"/>
    <col min="7" max="7" width="20.5703125" style="4" customWidth="1"/>
    <col min="8" max="8" width="9.85546875" customWidth="1"/>
    <col min="9" max="9" width="22.140625" bestFit="1" customWidth="1"/>
    <col min="10" max="10" width="17" bestFit="1" customWidth="1"/>
    <col min="12" max="12" width="25.5703125" bestFit="1" customWidth="1"/>
    <col min="13" max="13" width="33.28515625" bestFit="1" customWidth="1"/>
  </cols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299</v>
      </c>
    </row>
    <row r="2" spans="1:14" ht="15.75" thickBot="1" x14ac:dyDescent="0.3">
      <c r="A2" t="s">
        <v>12</v>
      </c>
      <c r="B2" t="s">
        <v>161</v>
      </c>
      <c r="C2" t="s">
        <v>168</v>
      </c>
      <c r="D2" t="s">
        <v>173</v>
      </c>
      <c r="E2">
        <v>94406</v>
      </c>
      <c r="F2" s="2">
        <v>42029</v>
      </c>
      <c r="G2" s="4">
        <v>1</v>
      </c>
      <c r="H2" t="s">
        <v>180</v>
      </c>
      <c r="I2" t="s">
        <v>185</v>
      </c>
      <c r="J2" t="str">
        <f t="shared" ref="J2:J36" si="0">IF(G2&lt;5,"GOOD","POOR")</f>
        <v>GOOD</v>
      </c>
    </row>
    <row r="3" spans="1:14" ht="29.25" thickBot="1" x14ac:dyDescent="0.5">
      <c r="A3" t="s">
        <v>14</v>
      </c>
      <c r="B3" t="s">
        <v>160</v>
      </c>
      <c r="C3" t="s">
        <v>169</v>
      </c>
      <c r="D3" t="s">
        <v>174</v>
      </c>
      <c r="E3">
        <v>78421</v>
      </c>
      <c r="F3" s="2">
        <v>42043</v>
      </c>
      <c r="G3" s="4">
        <v>2</v>
      </c>
      <c r="H3" t="s">
        <v>181</v>
      </c>
      <c r="I3" t="s">
        <v>187</v>
      </c>
      <c r="J3" t="str">
        <f t="shared" si="0"/>
        <v>GOOD</v>
      </c>
      <c r="K3" s="16" t="s">
        <v>297</v>
      </c>
      <c r="L3" s="17"/>
      <c r="M3" s="17"/>
      <c r="N3" s="18"/>
    </row>
    <row r="4" spans="1:14" x14ac:dyDescent="0.25">
      <c r="A4" t="s">
        <v>20</v>
      </c>
      <c r="B4" t="s">
        <v>163</v>
      </c>
      <c r="C4" t="s">
        <v>169</v>
      </c>
      <c r="D4" t="s">
        <v>173</v>
      </c>
      <c r="E4">
        <v>91180</v>
      </c>
      <c r="F4" s="2">
        <v>42085</v>
      </c>
      <c r="G4" s="4">
        <v>5</v>
      </c>
      <c r="H4" t="s">
        <v>180</v>
      </c>
      <c r="I4" t="s">
        <v>192</v>
      </c>
      <c r="J4" t="str">
        <f t="shared" si="0"/>
        <v>POOR</v>
      </c>
      <c r="K4" s="7"/>
      <c r="L4" s="8" t="s">
        <v>298</v>
      </c>
      <c r="M4" s="8"/>
      <c r="N4" s="9"/>
    </row>
    <row r="5" spans="1:14" ht="18.75" x14ac:dyDescent="0.4">
      <c r="A5" t="s">
        <v>28</v>
      </c>
      <c r="B5" t="s">
        <v>159</v>
      </c>
      <c r="C5" t="s">
        <v>169</v>
      </c>
      <c r="D5" t="s">
        <v>174</v>
      </c>
      <c r="E5">
        <v>67531</v>
      </c>
      <c r="F5" s="2">
        <v>42141</v>
      </c>
      <c r="G5" s="4">
        <v>5</v>
      </c>
      <c r="H5" t="s">
        <v>181</v>
      </c>
      <c r="I5" t="s">
        <v>199</v>
      </c>
      <c r="J5" t="str">
        <f t="shared" si="0"/>
        <v>POOR</v>
      </c>
      <c r="K5" s="10" t="s">
        <v>293</v>
      </c>
      <c r="L5" s="5" t="str">
        <f>PROPER(M5)</f>
        <v>Total Salary</v>
      </c>
      <c r="M5" s="6" t="s">
        <v>294</v>
      </c>
      <c r="N5" s="11">
        <f>SUM(E2:E36)</f>
        <v>2312854</v>
      </c>
    </row>
    <row r="6" spans="1:14" ht="18.75" x14ac:dyDescent="0.4">
      <c r="A6" t="s">
        <v>42</v>
      </c>
      <c r="B6" t="s">
        <v>164</v>
      </c>
      <c r="C6" t="s">
        <v>168</v>
      </c>
      <c r="D6" t="s">
        <v>173</v>
      </c>
      <c r="E6">
        <v>95367</v>
      </c>
      <c r="F6" s="2">
        <v>42239</v>
      </c>
      <c r="G6" s="4">
        <v>3</v>
      </c>
      <c r="H6" t="s">
        <v>180</v>
      </c>
      <c r="I6" t="s">
        <v>213</v>
      </c>
      <c r="J6" t="str">
        <f t="shared" si="0"/>
        <v>GOOD</v>
      </c>
      <c r="K6" s="10" t="s">
        <v>281</v>
      </c>
      <c r="L6" s="5" t="str">
        <f>PROPER(M6)</f>
        <v>Avg Salary</v>
      </c>
      <c r="M6" s="6" t="s">
        <v>284</v>
      </c>
      <c r="N6" s="11">
        <f>AVERAGE(E2:E36)</f>
        <v>66081.542857142864</v>
      </c>
    </row>
    <row r="7" spans="1:14" ht="18.75" x14ac:dyDescent="0.4">
      <c r="A7" t="s">
        <v>45</v>
      </c>
      <c r="B7" t="s">
        <v>160</v>
      </c>
      <c r="C7" t="s">
        <v>169</v>
      </c>
      <c r="D7" t="s">
        <v>173</v>
      </c>
      <c r="E7">
        <v>89781</v>
      </c>
      <c r="F7" s="2">
        <v>42260</v>
      </c>
      <c r="G7" s="4">
        <v>2</v>
      </c>
      <c r="H7" t="s">
        <v>181</v>
      </c>
      <c r="I7" t="s">
        <v>215</v>
      </c>
      <c r="J7" t="str">
        <f t="shared" si="0"/>
        <v>GOOD</v>
      </c>
      <c r="K7" s="10" t="s">
        <v>282</v>
      </c>
      <c r="L7" s="5" t="str">
        <f>PROPER(M7)</f>
        <v>Rank Holders</v>
      </c>
      <c r="M7" s="6" t="s">
        <v>295</v>
      </c>
      <c r="N7" s="11">
        <f>COUNT(G2:G36)</f>
        <v>35</v>
      </c>
    </row>
    <row r="8" spans="1:14" ht="18.75" x14ac:dyDescent="0.4">
      <c r="A8" t="s">
        <v>51</v>
      </c>
      <c r="B8" t="s">
        <v>165</v>
      </c>
      <c r="C8" t="s">
        <v>170</v>
      </c>
      <c r="D8" t="s">
        <v>176</v>
      </c>
      <c r="E8">
        <v>64913</v>
      </c>
      <c r="F8" s="2">
        <v>42302</v>
      </c>
      <c r="G8" s="4">
        <v>1</v>
      </c>
      <c r="H8" t="s">
        <v>181</v>
      </c>
      <c r="I8" t="s">
        <v>221</v>
      </c>
      <c r="J8" t="str">
        <f t="shared" si="0"/>
        <v>GOOD</v>
      </c>
      <c r="K8" s="10" t="s">
        <v>283</v>
      </c>
      <c r="L8" s="5" t="str">
        <f>PROPER(M8)</f>
        <v>Count Of Indian Employees</v>
      </c>
      <c r="M8" s="6" t="s">
        <v>285</v>
      </c>
      <c r="N8" s="11">
        <f xml:space="preserve"> COUNTIF(D2:D36,"India")</f>
        <v>13</v>
      </c>
    </row>
    <row r="9" spans="1:14" ht="18.75" x14ac:dyDescent="0.4">
      <c r="A9" t="s">
        <v>52</v>
      </c>
      <c r="B9" t="s">
        <v>160</v>
      </c>
      <c r="C9" t="s">
        <v>170</v>
      </c>
      <c r="D9" t="s">
        <v>176</v>
      </c>
      <c r="E9">
        <v>35326</v>
      </c>
      <c r="F9" s="2">
        <v>42309</v>
      </c>
      <c r="G9" s="4">
        <v>3</v>
      </c>
      <c r="H9" t="s">
        <v>181</v>
      </c>
      <c r="I9" t="s">
        <v>222</v>
      </c>
      <c r="J9" t="str">
        <f t="shared" si="0"/>
        <v>GOOD</v>
      </c>
      <c r="K9" s="10" t="s">
        <v>287</v>
      </c>
      <c r="L9" s="5" t="str">
        <f>PROPER(M9)</f>
        <v>No Of Employees</v>
      </c>
      <c r="M9" s="6" t="s">
        <v>286</v>
      </c>
      <c r="N9" s="11">
        <f xml:space="preserve"> COUNTA(Table2[Name])</f>
        <v>35</v>
      </c>
    </row>
    <row r="10" spans="1:14" ht="18.75" x14ac:dyDescent="0.4">
      <c r="A10" t="s">
        <v>64</v>
      </c>
      <c r="B10" t="s">
        <v>164</v>
      </c>
      <c r="C10" t="s">
        <v>169</v>
      </c>
      <c r="D10" t="s">
        <v>173</v>
      </c>
      <c r="E10">
        <v>74815</v>
      </c>
      <c r="F10" s="2">
        <v>42393</v>
      </c>
      <c r="G10" s="4">
        <v>5</v>
      </c>
      <c r="H10" t="s">
        <v>181</v>
      </c>
      <c r="I10" t="s">
        <v>230</v>
      </c>
      <c r="J10" t="str">
        <f t="shared" si="0"/>
        <v>POOR</v>
      </c>
      <c r="K10" s="10" t="s">
        <v>288</v>
      </c>
      <c r="L10" s="5" t="str">
        <f>PROPER(M10)</f>
        <v>Highest Salary</v>
      </c>
      <c r="M10" s="6" t="s">
        <v>291</v>
      </c>
      <c r="N10" s="11">
        <f>MAX(Table2[Salary])</f>
        <v>95621</v>
      </c>
    </row>
    <row r="11" spans="1:14" ht="18.75" x14ac:dyDescent="0.4">
      <c r="A11" t="s">
        <v>65</v>
      </c>
      <c r="B11" t="s">
        <v>161</v>
      </c>
      <c r="C11" t="s">
        <v>168</v>
      </c>
      <c r="D11" t="s">
        <v>176</v>
      </c>
      <c r="E11">
        <v>60011</v>
      </c>
      <c r="F11" s="2">
        <v>42400</v>
      </c>
      <c r="G11" s="4">
        <v>1</v>
      </c>
      <c r="H11" t="s">
        <v>180</v>
      </c>
      <c r="I11" t="s">
        <v>231</v>
      </c>
      <c r="J11" t="str">
        <f t="shared" si="0"/>
        <v>GOOD</v>
      </c>
      <c r="K11" s="10" t="s">
        <v>289</v>
      </c>
      <c r="L11" s="5" t="str">
        <f>PROPER(M11)</f>
        <v>Lowest Salary</v>
      </c>
      <c r="M11" s="6" t="s">
        <v>290</v>
      </c>
      <c r="N11" s="11">
        <f>MIN(Table2[Salary])</f>
        <v>31293</v>
      </c>
    </row>
    <row r="12" spans="1:14" ht="19.5" thickBot="1" x14ac:dyDescent="0.45">
      <c r="A12" t="s">
        <v>73</v>
      </c>
      <c r="B12" t="s">
        <v>161</v>
      </c>
      <c r="C12" t="s">
        <v>169</v>
      </c>
      <c r="D12" t="s">
        <v>174</v>
      </c>
      <c r="E12">
        <v>84737</v>
      </c>
      <c r="F12" s="2">
        <v>42456</v>
      </c>
      <c r="G12" s="4">
        <v>1</v>
      </c>
      <c r="H12" t="s">
        <v>180</v>
      </c>
      <c r="I12" t="s">
        <v>236</v>
      </c>
      <c r="J12" t="str">
        <f t="shared" si="0"/>
        <v>GOOD</v>
      </c>
      <c r="K12" s="12" t="s">
        <v>292</v>
      </c>
      <c r="L12" s="13" t="str">
        <f>PROPER(M12)</f>
        <v>Good/Poor</v>
      </c>
      <c r="M12" s="14" t="s">
        <v>296</v>
      </c>
      <c r="N12" s="15"/>
    </row>
    <row r="13" spans="1:14" x14ac:dyDescent="0.25">
      <c r="A13" t="s">
        <v>74</v>
      </c>
      <c r="B13" t="s">
        <v>163</v>
      </c>
      <c r="C13" t="s">
        <v>167</v>
      </c>
      <c r="D13" t="s">
        <v>174</v>
      </c>
      <c r="E13">
        <v>33468</v>
      </c>
      <c r="F13" s="2">
        <v>42463</v>
      </c>
      <c r="G13" s="4">
        <v>4</v>
      </c>
      <c r="H13" t="s">
        <v>180</v>
      </c>
      <c r="I13" t="s">
        <v>237</v>
      </c>
      <c r="J13" t="str">
        <f t="shared" si="0"/>
        <v>GOOD</v>
      </c>
    </row>
    <row r="14" spans="1:14" x14ac:dyDescent="0.25">
      <c r="A14" t="s">
        <v>76</v>
      </c>
      <c r="B14" t="s">
        <v>160</v>
      </c>
      <c r="C14" t="s">
        <v>168</v>
      </c>
      <c r="D14" t="s">
        <v>174</v>
      </c>
      <c r="E14">
        <v>61942</v>
      </c>
      <c r="F14" s="2">
        <v>42477</v>
      </c>
      <c r="G14" s="4">
        <v>3</v>
      </c>
      <c r="H14" t="s">
        <v>181</v>
      </c>
      <c r="I14" t="s">
        <v>239</v>
      </c>
      <c r="J14" t="str">
        <f t="shared" si="0"/>
        <v>GOOD</v>
      </c>
    </row>
    <row r="15" spans="1:14" x14ac:dyDescent="0.25">
      <c r="A15" t="s">
        <v>79</v>
      </c>
      <c r="B15" t="s">
        <v>159</v>
      </c>
      <c r="C15" t="s">
        <v>168</v>
      </c>
      <c r="D15" t="s">
        <v>176</v>
      </c>
      <c r="E15">
        <v>69952</v>
      </c>
      <c r="F15" s="2">
        <v>42498</v>
      </c>
      <c r="G15" s="4">
        <v>5</v>
      </c>
      <c r="H15" t="s">
        <v>181</v>
      </c>
      <c r="I15" t="s">
        <v>182</v>
      </c>
      <c r="J15" t="str">
        <f t="shared" si="0"/>
        <v>POOR</v>
      </c>
    </row>
    <row r="16" spans="1:14" x14ac:dyDescent="0.25">
      <c r="A16" t="s">
        <v>82</v>
      </c>
      <c r="B16" t="s">
        <v>161</v>
      </c>
      <c r="C16" t="s">
        <v>168</v>
      </c>
      <c r="D16" t="s">
        <v>174</v>
      </c>
      <c r="E16">
        <v>91101</v>
      </c>
      <c r="F16" s="2">
        <v>42519</v>
      </c>
      <c r="G16" s="4">
        <v>4</v>
      </c>
      <c r="H16" t="s">
        <v>181</v>
      </c>
      <c r="I16" t="s">
        <v>234</v>
      </c>
      <c r="J16" t="str">
        <f t="shared" si="0"/>
        <v>GOOD</v>
      </c>
    </row>
    <row r="17" spans="1:10" x14ac:dyDescent="0.25">
      <c r="A17" t="s">
        <v>85</v>
      </c>
      <c r="B17" t="s">
        <v>159</v>
      </c>
      <c r="C17" t="s">
        <v>169</v>
      </c>
      <c r="D17" t="s">
        <v>174</v>
      </c>
      <c r="E17">
        <v>94301</v>
      </c>
      <c r="F17" s="2">
        <v>42540</v>
      </c>
      <c r="G17" s="4">
        <v>1</v>
      </c>
      <c r="H17" t="s">
        <v>180</v>
      </c>
      <c r="I17" t="s">
        <v>223</v>
      </c>
      <c r="J17" t="str">
        <f t="shared" si="0"/>
        <v>GOOD</v>
      </c>
    </row>
    <row r="18" spans="1:10" x14ac:dyDescent="0.25">
      <c r="A18" t="s">
        <v>90</v>
      </c>
      <c r="B18" t="s">
        <v>162</v>
      </c>
      <c r="C18" t="s">
        <v>168</v>
      </c>
      <c r="D18" t="s">
        <v>173</v>
      </c>
      <c r="E18">
        <v>95621</v>
      </c>
      <c r="F18" s="2">
        <v>42575</v>
      </c>
      <c r="G18" s="4">
        <v>3</v>
      </c>
      <c r="H18" t="s">
        <v>181</v>
      </c>
      <c r="I18" t="s">
        <v>246</v>
      </c>
      <c r="J18" t="str">
        <f t="shared" si="0"/>
        <v>GOOD</v>
      </c>
    </row>
    <row r="19" spans="1:10" x14ac:dyDescent="0.25">
      <c r="A19" t="s">
        <v>93</v>
      </c>
      <c r="B19" t="s">
        <v>161</v>
      </c>
      <c r="C19" t="s">
        <v>170</v>
      </c>
      <c r="D19" t="s">
        <v>174</v>
      </c>
      <c r="E19">
        <v>44682</v>
      </c>
      <c r="F19" s="2">
        <v>42596</v>
      </c>
      <c r="G19" s="4">
        <v>4</v>
      </c>
      <c r="H19" t="s">
        <v>181</v>
      </c>
      <c r="I19" t="s">
        <v>220</v>
      </c>
      <c r="J19" t="str">
        <f t="shared" si="0"/>
        <v>GOOD</v>
      </c>
    </row>
    <row r="20" spans="1:10" x14ac:dyDescent="0.25">
      <c r="A20" t="s">
        <v>95</v>
      </c>
      <c r="B20" t="s">
        <v>164</v>
      </c>
      <c r="C20" t="s">
        <v>169</v>
      </c>
      <c r="D20" t="s">
        <v>174</v>
      </c>
      <c r="E20">
        <v>33483</v>
      </c>
      <c r="F20" s="2">
        <v>42610</v>
      </c>
      <c r="G20" s="4">
        <v>4</v>
      </c>
      <c r="H20" t="s">
        <v>180</v>
      </c>
      <c r="I20" t="s">
        <v>250</v>
      </c>
      <c r="J20" t="str">
        <f t="shared" si="0"/>
        <v>GOOD</v>
      </c>
    </row>
    <row r="21" spans="1:10" x14ac:dyDescent="0.25">
      <c r="A21" t="s">
        <v>100</v>
      </c>
      <c r="B21" t="s">
        <v>160</v>
      </c>
      <c r="C21" t="s">
        <v>167</v>
      </c>
      <c r="D21" t="s">
        <v>176</v>
      </c>
      <c r="E21">
        <v>69420</v>
      </c>
      <c r="F21" s="2">
        <v>42645</v>
      </c>
      <c r="G21" s="4">
        <v>1</v>
      </c>
      <c r="H21" t="s">
        <v>180</v>
      </c>
      <c r="I21" t="s">
        <v>225</v>
      </c>
      <c r="J21" t="str">
        <f t="shared" si="0"/>
        <v>GOOD</v>
      </c>
    </row>
    <row r="22" spans="1:10" x14ac:dyDescent="0.25">
      <c r="A22" t="s">
        <v>102</v>
      </c>
      <c r="B22" t="s">
        <v>160</v>
      </c>
      <c r="C22" t="s">
        <v>167</v>
      </c>
      <c r="D22" t="s">
        <v>173</v>
      </c>
      <c r="E22">
        <v>76238</v>
      </c>
      <c r="F22" s="2">
        <v>42659</v>
      </c>
      <c r="G22" s="4">
        <v>4</v>
      </c>
      <c r="H22" t="s">
        <v>180</v>
      </c>
      <c r="I22" t="s">
        <v>252</v>
      </c>
      <c r="J22" t="str">
        <f t="shared" si="0"/>
        <v>GOOD</v>
      </c>
    </row>
    <row r="23" spans="1:10" x14ac:dyDescent="0.25">
      <c r="A23" t="s">
        <v>103</v>
      </c>
      <c r="B23" t="s">
        <v>165</v>
      </c>
      <c r="C23" t="s">
        <v>169</v>
      </c>
      <c r="D23" t="s">
        <v>174</v>
      </c>
      <c r="E23">
        <v>33264</v>
      </c>
      <c r="F23" s="2">
        <v>42666</v>
      </c>
      <c r="G23" s="4">
        <v>3</v>
      </c>
      <c r="H23" t="s">
        <v>181</v>
      </c>
      <c r="I23" t="s">
        <v>253</v>
      </c>
      <c r="J23" t="str">
        <f t="shared" si="0"/>
        <v>GOOD</v>
      </c>
    </row>
    <row r="24" spans="1:10" x14ac:dyDescent="0.25">
      <c r="A24" t="s">
        <v>107</v>
      </c>
      <c r="B24" t="s">
        <v>165</v>
      </c>
      <c r="C24" t="s">
        <v>169</v>
      </c>
      <c r="D24" t="s">
        <v>176</v>
      </c>
      <c r="E24">
        <v>70470</v>
      </c>
      <c r="F24" s="2">
        <v>42694</v>
      </c>
      <c r="G24" s="4">
        <v>3</v>
      </c>
      <c r="H24" t="s">
        <v>180</v>
      </c>
      <c r="I24" t="s">
        <v>257</v>
      </c>
      <c r="J24" t="str">
        <f t="shared" si="0"/>
        <v>GOOD</v>
      </c>
    </row>
    <row r="25" spans="1:10" x14ac:dyDescent="0.25">
      <c r="A25" t="s">
        <v>108</v>
      </c>
      <c r="B25" t="s">
        <v>159</v>
      </c>
      <c r="C25" t="s">
        <v>170</v>
      </c>
      <c r="D25" t="s">
        <v>173</v>
      </c>
      <c r="E25">
        <v>70096</v>
      </c>
      <c r="F25" s="2">
        <v>42701</v>
      </c>
      <c r="G25" s="4">
        <v>5</v>
      </c>
      <c r="H25" t="s">
        <v>180</v>
      </c>
      <c r="I25" t="s">
        <v>258</v>
      </c>
      <c r="J25" t="str">
        <f t="shared" si="0"/>
        <v>POOR</v>
      </c>
    </row>
    <row r="26" spans="1:10" x14ac:dyDescent="0.25">
      <c r="A26" t="s">
        <v>116</v>
      </c>
      <c r="B26" t="s">
        <v>163</v>
      </c>
      <c r="C26" t="s">
        <v>170</v>
      </c>
      <c r="D26" t="s">
        <v>176</v>
      </c>
      <c r="E26">
        <v>86412</v>
      </c>
      <c r="F26" s="2">
        <v>42757</v>
      </c>
      <c r="G26" s="4">
        <v>2</v>
      </c>
      <c r="H26" t="s">
        <v>181</v>
      </c>
      <c r="I26" t="s">
        <v>202</v>
      </c>
      <c r="J26" t="str">
        <f t="shared" si="0"/>
        <v>GOOD</v>
      </c>
    </row>
    <row r="27" spans="1:10" x14ac:dyDescent="0.25">
      <c r="A27" t="s">
        <v>118</v>
      </c>
      <c r="B27" t="s">
        <v>162</v>
      </c>
      <c r="C27" t="s">
        <v>168</v>
      </c>
      <c r="D27" t="s">
        <v>174</v>
      </c>
      <c r="E27">
        <v>88850</v>
      </c>
      <c r="F27" s="2">
        <v>42771</v>
      </c>
      <c r="G27" s="4">
        <v>1</v>
      </c>
      <c r="H27" t="s">
        <v>181</v>
      </c>
      <c r="I27" t="s">
        <v>263</v>
      </c>
      <c r="J27" t="str">
        <f t="shared" si="0"/>
        <v>GOOD</v>
      </c>
    </row>
    <row r="28" spans="1:10" x14ac:dyDescent="0.25">
      <c r="A28" t="s">
        <v>119</v>
      </c>
      <c r="B28" t="s">
        <v>164</v>
      </c>
      <c r="C28" t="s">
        <v>168</v>
      </c>
      <c r="D28" t="s">
        <v>174</v>
      </c>
      <c r="E28">
        <v>31293</v>
      </c>
      <c r="F28" s="2">
        <v>42771</v>
      </c>
      <c r="G28" s="4">
        <v>2</v>
      </c>
      <c r="H28" t="s">
        <v>181</v>
      </c>
      <c r="I28" t="s">
        <v>264</v>
      </c>
      <c r="J28" t="str">
        <f t="shared" si="0"/>
        <v>GOOD</v>
      </c>
    </row>
    <row r="29" spans="1:10" x14ac:dyDescent="0.25">
      <c r="A29" t="s">
        <v>120</v>
      </c>
      <c r="B29" t="s">
        <v>164</v>
      </c>
      <c r="C29" t="s">
        <v>169</v>
      </c>
      <c r="D29" t="s">
        <v>173</v>
      </c>
      <c r="E29">
        <v>34306</v>
      </c>
      <c r="F29" s="2">
        <v>42785</v>
      </c>
      <c r="G29" s="4">
        <v>5</v>
      </c>
      <c r="H29" t="s">
        <v>181</v>
      </c>
      <c r="I29" t="s">
        <v>239</v>
      </c>
      <c r="J29" t="str">
        <f t="shared" si="0"/>
        <v>POOR</v>
      </c>
    </row>
    <row r="30" spans="1:10" x14ac:dyDescent="0.25">
      <c r="A30" t="s">
        <v>122</v>
      </c>
      <c r="B30" t="s">
        <v>160</v>
      </c>
      <c r="C30" t="s">
        <v>169</v>
      </c>
      <c r="D30" t="s">
        <v>173</v>
      </c>
      <c r="E30">
        <v>47653</v>
      </c>
      <c r="F30" s="2">
        <v>42799</v>
      </c>
      <c r="G30" s="4">
        <v>1</v>
      </c>
      <c r="H30" t="s">
        <v>180</v>
      </c>
      <c r="I30" t="s">
        <v>265</v>
      </c>
      <c r="J30" t="str">
        <f t="shared" si="0"/>
        <v>GOOD</v>
      </c>
    </row>
    <row r="31" spans="1:10" x14ac:dyDescent="0.25">
      <c r="A31" t="s">
        <v>125</v>
      </c>
      <c r="B31" t="s">
        <v>165</v>
      </c>
      <c r="C31" t="s">
        <v>170</v>
      </c>
      <c r="D31" t="s">
        <v>176</v>
      </c>
      <c r="E31">
        <v>38837</v>
      </c>
      <c r="F31" s="2">
        <v>42820</v>
      </c>
      <c r="G31" s="4">
        <v>5</v>
      </c>
      <c r="H31" t="s">
        <v>181</v>
      </c>
      <c r="I31" t="s">
        <v>239</v>
      </c>
      <c r="J31" t="str">
        <f t="shared" si="0"/>
        <v>POOR</v>
      </c>
    </row>
    <row r="32" spans="1:10" x14ac:dyDescent="0.25">
      <c r="A32" t="s">
        <v>128</v>
      </c>
      <c r="B32" t="s">
        <v>159</v>
      </c>
      <c r="C32" t="s">
        <v>168</v>
      </c>
      <c r="D32" t="s">
        <v>176</v>
      </c>
      <c r="E32">
        <v>44358</v>
      </c>
      <c r="F32" s="2">
        <v>42841</v>
      </c>
      <c r="G32" s="4">
        <v>2</v>
      </c>
      <c r="H32" t="s">
        <v>181</v>
      </c>
      <c r="I32" t="s">
        <v>200</v>
      </c>
      <c r="J32" t="str">
        <f t="shared" si="0"/>
        <v>GOOD</v>
      </c>
    </row>
    <row r="33" spans="1:10" x14ac:dyDescent="0.25">
      <c r="A33" t="s">
        <v>136</v>
      </c>
      <c r="B33" t="s">
        <v>161</v>
      </c>
      <c r="C33" t="s">
        <v>166</v>
      </c>
      <c r="D33" t="s">
        <v>173</v>
      </c>
      <c r="E33">
        <v>91953</v>
      </c>
      <c r="F33" s="2">
        <v>42897</v>
      </c>
      <c r="G33" s="4">
        <v>2</v>
      </c>
      <c r="H33" t="s">
        <v>180</v>
      </c>
      <c r="I33" t="s">
        <v>209</v>
      </c>
      <c r="J33" t="str">
        <f t="shared" si="0"/>
        <v>GOOD</v>
      </c>
    </row>
    <row r="34" spans="1:10" x14ac:dyDescent="0.25">
      <c r="A34" t="s">
        <v>139</v>
      </c>
      <c r="B34" t="s">
        <v>160</v>
      </c>
      <c r="C34" t="s">
        <v>168</v>
      </c>
      <c r="D34" t="s">
        <v>174</v>
      </c>
      <c r="E34">
        <v>48289</v>
      </c>
      <c r="F34" s="2">
        <v>42911</v>
      </c>
      <c r="G34" s="4">
        <v>3</v>
      </c>
      <c r="H34" t="s">
        <v>180</v>
      </c>
      <c r="I34" t="s">
        <v>189</v>
      </c>
      <c r="J34" t="str">
        <f t="shared" si="0"/>
        <v>GOOD</v>
      </c>
    </row>
    <row r="35" spans="1:10" x14ac:dyDescent="0.25">
      <c r="A35" t="s">
        <v>147</v>
      </c>
      <c r="B35" t="s">
        <v>164</v>
      </c>
      <c r="C35" t="s">
        <v>170</v>
      </c>
      <c r="D35" t="s">
        <v>176</v>
      </c>
      <c r="E35">
        <v>84750</v>
      </c>
      <c r="F35" s="2">
        <v>42974</v>
      </c>
      <c r="G35" s="4">
        <v>4</v>
      </c>
      <c r="H35" t="s">
        <v>181</v>
      </c>
      <c r="I35" t="s">
        <v>195</v>
      </c>
      <c r="J35" t="str">
        <f t="shared" si="0"/>
        <v>GOOD</v>
      </c>
    </row>
    <row r="36" spans="1:10" x14ac:dyDescent="0.25">
      <c r="A36" t="s">
        <v>154</v>
      </c>
      <c r="B36" t="s">
        <v>163</v>
      </c>
      <c r="C36" t="s">
        <v>168</v>
      </c>
      <c r="D36" t="s">
        <v>176</v>
      </c>
      <c r="E36">
        <v>35627</v>
      </c>
      <c r="F36" s="2">
        <v>43023</v>
      </c>
      <c r="G36" s="4">
        <v>5</v>
      </c>
      <c r="H36" t="s">
        <v>181</v>
      </c>
      <c r="I36" t="s">
        <v>275</v>
      </c>
      <c r="J36" t="str">
        <f t="shared" si="0"/>
        <v>POOR</v>
      </c>
    </row>
    <row r="37" spans="1:10" x14ac:dyDescent="0.25">
      <c r="E37">
        <f>SUBTOTAL(109,Table2[Salary])</f>
        <v>2312854</v>
      </c>
      <c r="F37" s="2"/>
    </row>
  </sheetData>
  <mergeCells count="1">
    <mergeCell ref="K3:N3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151"/>
  <sheetViews>
    <sheetView zoomScale="85" zoomScaleNormal="85" workbookViewId="0">
      <selection activeCell="F112" sqref="F112"/>
    </sheetView>
  </sheetViews>
  <sheetFormatPr defaultRowHeight="15" x14ac:dyDescent="0.25"/>
  <cols>
    <col min="6" max="6" width="18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hidden="1" x14ac:dyDescent="0.2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hidden="1" x14ac:dyDescent="0.2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hidden="1" x14ac:dyDescent="0.2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hidden="1" x14ac:dyDescent="0.2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2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hidden="1" x14ac:dyDescent="0.2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hidden="1" x14ac:dyDescent="0.2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hidden="1" x14ac:dyDescent="0.2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hidden="1" x14ac:dyDescent="0.2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hidden="1" x14ac:dyDescent="0.2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hidden="1" x14ac:dyDescent="0.2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hidden="1" x14ac:dyDescent="0.2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hidden="1" x14ac:dyDescent="0.2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hidden="1" x14ac:dyDescent="0.2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hidden="1" x14ac:dyDescent="0.2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hidden="1" x14ac:dyDescent="0.2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hidden="1" x14ac:dyDescent="0.2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hidden="1" x14ac:dyDescent="0.2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2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hidden="1" x14ac:dyDescent="0.2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hidden="1" x14ac:dyDescent="0.2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hidden="1" x14ac:dyDescent="0.2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hidden="1" x14ac:dyDescent="0.2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hidden="1" x14ac:dyDescent="0.2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hidden="1" x14ac:dyDescent="0.2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hidden="1" x14ac:dyDescent="0.2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hidden="1" x14ac:dyDescent="0.2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hidden="1" x14ac:dyDescent="0.2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hidden="1" x14ac:dyDescent="0.2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hidden="1" x14ac:dyDescent="0.2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hidden="1" x14ac:dyDescent="0.2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hidden="1" x14ac:dyDescent="0.2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hidden="1" x14ac:dyDescent="0.2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hidden="1" x14ac:dyDescent="0.2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hidden="1" x14ac:dyDescent="0.2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hidden="1" x14ac:dyDescent="0.2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hidden="1" x14ac:dyDescent="0.2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hidden="1" x14ac:dyDescent="0.2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hidden="1" x14ac:dyDescent="0.2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hidden="1" x14ac:dyDescent="0.2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hidden="1" x14ac:dyDescent="0.2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hidden="1" x14ac:dyDescent="0.2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hidden="1" x14ac:dyDescent="0.2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hidden="1" x14ac:dyDescent="0.2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hidden="1" x14ac:dyDescent="0.2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hidden="1" x14ac:dyDescent="0.2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hidden="1" x14ac:dyDescent="0.2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hidden="1" x14ac:dyDescent="0.2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hidden="1" x14ac:dyDescent="0.2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hidden="1" x14ac:dyDescent="0.2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hidden="1" x14ac:dyDescent="0.2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hidden="1" x14ac:dyDescent="0.2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hidden="1" x14ac:dyDescent="0.2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hidden="1" x14ac:dyDescent="0.2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hidden="1" x14ac:dyDescent="0.2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hidden="1" x14ac:dyDescent="0.2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hidden="1" x14ac:dyDescent="0.2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hidden="1" x14ac:dyDescent="0.2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hidden="1" x14ac:dyDescent="0.2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hidden="1" x14ac:dyDescent="0.2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hidden="1" x14ac:dyDescent="0.2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hidden="1" x14ac:dyDescent="0.2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hidden="1" x14ac:dyDescent="0.2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2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2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hidden="1" x14ac:dyDescent="0.2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2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hidden="1" x14ac:dyDescent="0.2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hidden="1" x14ac:dyDescent="0.2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hidden="1" x14ac:dyDescent="0.2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hidden="1" x14ac:dyDescent="0.2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hidden="1" x14ac:dyDescent="0.2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2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hidden="1" x14ac:dyDescent="0.2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hidden="1" x14ac:dyDescent="0.2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2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hidden="1" x14ac:dyDescent="0.2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hidden="1" x14ac:dyDescent="0.2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hidden="1" x14ac:dyDescent="0.2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hidden="1" x14ac:dyDescent="0.2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hidden="1" x14ac:dyDescent="0.2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hidden="1" x14ac:dyDescent="0.2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hidden="1" x14ac:dyDescent="0.2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2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hidden="1" x14ac:dyDescent="0.2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2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hidden="1" x14ac:dyDescent="0.2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hidden="1" x14ac:dyDescent="0.2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hidden="1" x14ac:dyDescent="0.2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hidden="1" x14ac:dyDescent="0.2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hidden="1" x14ac:dyDescent="0.2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hidden="1" x14ac:dyDescent="0.2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hidden="1" x14ac:dyDescent="0.2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2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hidden="1" x14ac:dyDescent="0.2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hidden="1" x14ac:dyDescent="0.2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hidden="1" x14ac:dyDescent="0.2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hidden="1" x14ac:dyDescent="0.2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hidden="1" x14ac:dyDescent="0.2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hidden="1" x14ac:dyDescent="0.2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hidden="1" x14ac:dyDescent="0.2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hidden="1" x14ac:dyDescent="0.2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hidden="1" x14ac:dyDescent="0.2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hidden="1" x14ac:dyDescent="0.2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hidden="1" x14ac:dyDescent="0.2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hidden="1" x14ac:dyDescent="0.2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hidden="1" x14ac:dyDescent="0.2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hidden="1" x14ac:dyDescent="0.2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2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2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hidden="1" x14ac:dyDescent="0.2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hidden="1" x14ac:dyDescent="0.2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hidden="1" x14ac:dyDescent="0.2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hidden="1" x14ac:dyDescent="0.2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hidden="1" x14ac:dyDescent="0.2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hidden="1" x14ac:dyDescent="0.2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hidden="1" x14ac:dyDescent="0.2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hidden="1" x14ac:dyDescent="0.2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hidden="1" x14ac:dyDescent="0.2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hidden="1" x14ac:dyDescent="0.2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hidden="1" x14ac:dyDescent="0.2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hidden="1" x14ac:dyDescent="0.2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hidden="1" x14ac:dyDescent="0.2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hidden="1" x14ac:dyDescent="0.2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hidden="1" x14ac:dyDescent="0.2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hidden="1" x14ac:dyDescent="0.2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hidden="1" x14ac:dyDescent="0.2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hidden="1" x14ac:dyDescent="0.2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hidden="1" x14ac:dyDescent="0.2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2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hidden="1" x14ac:dyDescent="0.2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hidden="1" x14ac:dyDescent="0.2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hidden="1" x14ac:dyDescent="0.2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hidden="1" x14ac:dyDescent="0.2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hidden="1" x14ac:dyDescent="0.2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hidden="1" x14ac:dyDescent="0.2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hidden="1" x14ac:dyDescent="0.2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hidden="1" x14ac:dyDescent="0.2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hidden="1" x14ac:dyDescent="0.2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hidden="1" x14ac:dyDescent="0.2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hidden="1" x14ac:dyDescent="0.2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hidden="1" x14ac:dyDescent="0.2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hidden="1" x14ac:dyDescent="0.2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hidden="1" x14ac:dyDescent="0.2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hidden="1" x14ac:dyDescent="0.2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hidden="1" x14ac:dyDescent="0.2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hidden="1" x14ac:dyDescent="0.2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hidden="1" x14ac:dyDescent="0.2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hidden="1" x14ac:dyDescent="0.2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autoFilter ref="A1:I151">
    <filterColumn colId="3">
      <filters>
        <filter val="India"/>
      </filters>
    </filterColumn>
    <filterColumn colId="7">
      <filters>
        <filter val="Female"/>
        <filter val="Mal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(2)</vt:lpstr>
      <vt:lpstr>WORKINGS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2025-05-31T18:11:07Z</dcterms:created>
  <dcterms:modified xsi:type="dcterms:W3CDTF">2026-04-01T13:22:13Z</dcterms:modified>
</cp:coreProperties>
</file>